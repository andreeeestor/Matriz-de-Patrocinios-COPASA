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V:\Adm\Análise de Patrocínio\PATROCÍNIOS\PATROCINIOS\"/>
    </mc:Choice>
  </mc:AlternateContent>
  <xr:revisionPtr revIDLastSave="0" documentId="13_ncr:1_{0D2D6979-5BE0-4778-83E7-1458111A9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Patrocin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7" i="1" l="1"/>
  <c r="C100" i="1"/>
  <c r="C93" i="1"/>
  <c r="C63" i="1"/>
  <c r="C51" i="1"/>
  <c r="B131" i="1" l="1"/>
  <c r="B132" i="1" s="1"/>
</calcChain>
</file>

<file path=xl/sharedStrings.xml><?xml version="1.0" encoding="utf-8"?>
<sst xmlns="http://schemas.openxmlformats.org/spreadsheetml/2006/main" count="138" uniqueCount="108">
  <si>
    <t>MATRIZ INTEGRADA DE AVALIACAO DE PATROCINIOS COPASA</t>
  </si>
  <si>
    <t>Proponente</t>
  </si>
  <si>
    <t>1. ALINHAMENTO ESTRATEGICO</t>
  </si>
  <si>
    <t>Critério</t>
  </si>
  <si>
    <t>Pont.Max</t>
  </si>
  <si>
    <t>Nota</t>
  </si>
  <si>
    <t>Obs</t>
  </si>
  <si>
    <t>Valores Organizacionais</t>
  </si>
  <si>
    <t>Diversidade e Inclusao</t>
  </si>
  <si>
    <t>Sustentabilidade</t>
  </si>
  <si>
    <t>Subtotal 1</t>
  </si>
  <si>
    <t>2. CAPACIDADE INSTITUCIONAL</t>
  </si>
  <si>
    <t>Portfolio</t>
  </si>
  <si>
    <t>Experiencia Incentivos</t>
  </si>
  <si>
    <t>Subtotal 2</t>
  </si>
  <si>
    <t>3. IMPACTO SOCIAL E ESG</t>
  </si>
  <si>
    <t>Educacao</t>
  </si>
  <si>
    <t>Saude</t>
  </si>
  <si>
    <t>Inclusao</t>
  </si>
  <si>
    <t>ESG</t>
  </si>
  <si>
    <t>Subtotal 3</t>
  </si>
  <si>
    <t>4. COMUNICACAO E MARCA</t>
  </si>
  <si>
    <t>Redes Sociais</t>
  </si>
  <si>
    <t>Monitoramento</t>
  </si>
  <si>
    <t>Conteudo Institucional</t>
  </si>
  <si>
    <t>Subtotal 4</t>
  </si>
  <si>
    <t>5. VOLUNTARIADO</t>
  </si>
  <si>
    <t>Voluntariado Corporativo</t>
  </si>
  <si>
    <t>Datas Comemorativas</t>
  </si>
  <si>
    <t>Subtotal 5</t>
  </si>
  <si>
    <t>6. VIABILIDADE FINANCEIRA</t>
  </si>
  <si>
    <t>Execucao Garantida</t>
  </si>
  <si>
    <t>Cotas</t>
  </si>
  <si>
    <t>Subtotal 6</t>
  </si>
  <si>
    <t>PAINEL EXECUTIVO</t>
  </si>
  <si>
    <t>Eixo</t>
  </si>
  <si>
    <t>Pontuacao</t>
  </si>
  <si>
    <t>Nota Final</t>
  </si>
  <si>
    <t>Conceito</t>
  </si>
  <si>
    <t>Razão social</t>
  </si>
  <si>
    <t>CNPJ</t>
  </si>
  <si>
    <t xml:space="preserve">RUA </t>
  </si>
  <si>
    <t>BAIRRO</t>
  </si>
  <si>
    <t>CIDADE</t>
  </si>
  <si>
    <t>NÚMERO</t>
  </si>
  <si>
    <t>COMPLEMENTO</t>
  </si>
  <si>
    <t>ESTADO</t>
  </si>
  <si>
    <t>REDES SOCIAIS</t>
  </si>
  <si>
    <t>E-MAIL</t>
  </si>
  <si>
    <t>DADOS DO REPRESENTANTE LEGAL</t>
  </si>
  <si>
    <t>NOME</t>
  </si>
  <si>
    <t>CARGO OU FUNÇÃO</t>
  </si>
  <si>
    <t>TELEFONE ( COM DDD)</t>
  </si>
  <si>
    <t>CELULAR ( COM DDD)</t>
  </si>
  <si>
    <t>INFORMAÇÕES DO PROJETO</t>
  </si>
  <si>
    <t>DADOS CADASTRAIS DO PROJETO</t>
  </si>
  <si>
    <t>NOME DO PROJETO</t>
  </si>
  <si>
    <t xml:space="preserve">CÓDIGO DE APROVAÇÃO </t>
  </si>
  <si>
    <t>DATA DE PUBLICAÇÃO DO PROJETO</t>
  </si>
  <si>
    <t>DATA DE PRORROGAÇÃO DO PROJETO</t>
  </si>
  <si>
    <t>DATA FINAL DE CAPTAÇÃO</t>
  </si>
  <si>
    <t>VALOR TOTAL DA APROVAÇÃO</t>
  </si>
  <si>
    <t>VALOR SOLICITADO PARA APORTE</t>
  </si>
  <si>
    <t>DADOS BANCÁRIOS DO PROJETO</t>
  </si>
  <si>
    <t>BANCO</t>
  </si>
  <si>
    <t>AGENCIA</t>
  </si>
  <si>
    <t>CONTA CORRENTE</t>
  </si>
  <si>
    <t>OPERAÇÃO</t>
  </si>
  <si>
    <t>LOCAL DE REALIZAÇÃO</t>
  </si>
  <si>
    <t>OBJETIVO</t>
  </si>
  <si>
    <t>DETALHAMENTO DAS ATIVIDADES</t>
  </si>
  <si>
    <t>CRONOGRAMA</t>
  </si>
  <si>
    <t>Beneficiarios Diretos - Estimativa de pessoas</t>
  </si>
  <si>
    <t>Ativacoes da marca</t>
  </si>
  <si>
    <t xml:space="preserve">Direitos de Imagem - </t>
  </si>
  <si>
    <t>Captacao - QUAL O PERCENTUAL JÁ CAPTADO?</t>
  </si>
  <si>
    <t>PÚBLICO ALVO DO PROJETO</t>
  </si>
  <si>
    <t>Plano Comunicacao - Mídia (TV,RD,JR, OUTDOOR E OUTROS)</t>
  </si>
  <si>
    <t>CONTRAPARTIDA DE IMAGEM - MATERIAIS INSTITUCIONAIS ( BANNERS, FOLDERS, CAMISETAS e outros)</t>
  </si>
  <si>
    <t>Site oficialdo projeto ou evento</t>
  </si>
  <si>
    <t>Exibição video da Copasa</t>
  </si>
  <si>
    <t>Citação Copasa nos releases</t>
  </si>
  <si>
    <t>6. NEGOCIAL</t>
  </si>
  <si>
    <t>Direito a inclusão material promocional nos kits do projeto</t>
  </si>
  <si>
    <t>Cessão de convites, ingressos, inscrições e cortesias</t>
  </si>
  <si>
    <t>Cessão de direito de instalaçao de estande no local do evento</t>
  </si>
  <si>
    <t>Direito a indicar palestrantes ( seminários, prêmios, debates e outros)</t>
  </si>
  <si>
    <t>Cessão de cortesias para escolas públicas</t>
  </si>
  <si>
    <t>Engajamento Comunitario ( contratação de pessoas com deficiência, transgêneros)</t>
  </si>
  <si>
    <t>Citação da Copasa na abertura e encerramento dos eventos</t>
  </si>
  <si>
    <t>PERÍODO DE REALIZAÇÃO DO PROJETO</t>
  </si>
  <si>
    <t>DOCUMENTO DE IDENTIDADE</t>
  </si>
  <si>
    <t>Capacidade Tecnica - QUE CONTRIBUIRÃO PARA UM MAIOR RETORNO À COPASA</t>
  </si>
  <si>
    <t xml:space="preserve">ARTIGO DE APROVAÇÃO  - ART 18 OU 26? </t>
  </si>
  <si>
    <t>Diferencial Artístico/ Cultural</t>
  </si>
  <si>
    <t>Diferencial Social/ Ambiental</t>
  </si>
  <si>
    <t>Diferencial de Originalidade e inovação</t>
  </si>
  <si>
    <t>Diferencial Técnico Científico/ Acadêmico</t>
  </si>
  <si>
    <t>Diferencial de Relacionamento e clientes</t>
  </si>
  <si>
    <t>Governança</t>
  </si>
  <si>
    <t>Recursos humanos</t>
  </si>
  <si>
    <t>Experiência e resultados</t>
  </si>
  <si>
    <t>LEI DE INCENTIVO</t>
  </si>
  <si>
    <t>Ver algum item matriz</t>
  </si>
  <si>
    <t xml:space="preserve">Parcerias </t>
  </si>
  <si>
    <t>Beneficiarios Indiretos - Estimativa de público</t>
  </si>
  <si>
    <t xml:space="preserve">Interesse Coletivo  </t>
  </si>
  <si>
    <t>Recursos financeiros: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</si>
</sst>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4" borderId="1" xfId="0" applyFont="1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8" xfId="0" applyFill="1" applyBorder="1"/>
    <xf numFmtId="0" fontId="7" fillId="4" borderId="0" xfId="0" applyFont="1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Pontuacao por Eixo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'Matriz Patrocinios'!$B$123</c:f>
              <c:strCache>
                <c:ptCount val="1"/>
                <c:pt idx="0">
                  <c:v>Pontuacao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'Matriz Patrocinios'!$A$124:$A$129</c:f>
              <c:strCache>
                <c:ptCount val="6"/>
                <c:pt idx="0">
                  <c:v>1. ALINHAMENTO ESTRATEGICO</c:v>
                </c:pt>
                <c:pt idx="1">
                  <c:v>2. CAPACIDADE INSTITUCIONAL</c:v>
                </c:pt>
                <c:pt idx="2">
                  <c:v>3. IMPACTO SOCIAL E ESG</c:v>
                </c:pt>
                <c:pt idx="3">
                  <c:v>4. COMUNICACAO E MARCA</c:v>
                </c:pt>
                <c:pt idx="4">
                  <c:v>5. VOLUNTARIADO</c:v>
                </c:pt>
                <c:pt idx="5">
                  <c:v>6. VIABILIDADE FINANCEIRA</c:v>
                </c:pt>
              </c:strCache>
            </c:strRef>
          </c:cat>
          <c:val>
            <c:numRef>
              <c:f>'Matriz Patrocinios'!$B$124:$B$129</c:f>
              <c:numCache>
                <c:formatCode>General</c:formatCode>
                <c:ptCount val="6"/>
                <c:pt idx="2">
                  <c:v>10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2-41B7-8E5C-385388D62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Radar de Desempenho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'Matriz Patrocinios'!$B$123</c:f>
              <c:strCache>
                <c:ptCount val="1"/>
                <c:pt idx="0">
                  <c:v>Pontuacao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'Matriz Patrocinios'!$A$124:$A$129</c:f>
              <c:strCache>
                <c:ptCount val="6"/>
                <c:pt idx="0">
                  <c:v>1. ALINHAMENTO ESTRATEGICO</c:v>
                </c:pt>
                <c:pt idx="1">
                  <c:v>2. CAPACIDADE INSTITUCIONAL</c:v>
                </c:pt>
                <c:pt idx="2">
                  <c:v>3. IMPACTO SOCIAL E ESG</c:v>
                </c:pt>
                <c:pt idx="3">
                  <c:v>4. COMUNICACAO E MARCA</c:v>
                </c:pt>
                <c:pt idx="4">
                  <c:v>5. VOLUNTARIADO</c:v>
                </c:pt>
                <c:pt idx="5">
                  <c:v>6. VIABILIDADE FINANCEIRA</c:v>
                </c:pt>
              </c:strCache>
            </c:strRef>
          </c:cat>
          <c:val>
            <c:numRef>
              <c:f>'Matriz Patrocinios'!$B$124:$B$129</c:f>
              <c:numCache>
                <c:formatCode>General</c:formatCode>
                <c:ptCount val="6"/>
                <c:pt idx="2">
                  <c:v>10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E-437F-845A-A8FB086E1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51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2"/>
  <sheetViews>
    <sheetView showGridLines="0" tabSelected="1" zoomScale="110" zoomScaleNormal="110" workbookViewId="0">
      <selection activeCell="B131" sqref="B131"/>
    </sheetView>
  </sheetViews>
  <sheetFormatPr defaultRowHeight="15" x14ac:dyDescent="0.25"/>
  <cols>
    <col min="1" max="1" width="64.7109375" customWidth="1"/>
    <col min="2" max="3" width="12" customWidth="1"/>
    <col min="4" max="4" width="40" customWidth="1"/>
  </cols>
  <sheetData>
    <row r="1" spans="1:8" ht="18.75" x14ac:dyDescent="0.25">
      <c r="A1" s="40" t="s">
        <v>0</v>
      </c>
      <c r="B1" s="41"/>
      <c r="C1" s="41"/>
      <c r="D1" s="41"/>
      <c r="E1" s="41"/>
      <c r="F1" s="41"/>
      <c r="G1" s="41"/>
      <c r="H1" s="41"/>
    </row>
    <row r="3" spans="1:8" ht="15.75" x14ac:dyDescent="0.25">
      <c r="A3" s="62" t="s">
        <v>55</v>
      </c>
      <c r="B3" s="65"/>
      <c r="C3" s="65"/>
      <c r="D3" s="65"/>
      <c r="E3" s="65"/>
      <c r="F3" s="65"/>
      <c r="G3" s="65"/>
      <c r="H3" s="66"/>
    </row>
    <row r="4" spans="1:8" x14ac:dyDescent="0.25">
      <c r="A4" s="32" t="s">
        <v>1</v>
      </c>
      <c r="B4" s="44"/>
      <c r="C4" s="44"/>
      <c r="D4" s="44"/>
      <c r="E4" s="44"/>
      <c r="F4" s="44"/>
      <c r="G4" s="44"/>
      <c r="H4" s="44"/>
    </row>
    <row r="5" spans="1:8" x14ac:dyDescent="0.25">
      <c r="A5" s="32" t="s">
        <v>39</v>
      </c>
      <c r="B5" s="20"/>
      <c r="C5" s="20"/>
      <c r="D5" s="20"/>
      <c r="E5" s="20"/>
      <c r="F5" s="20"/>
      <c r="G5" s="20"/>
      <c r="H5" s="20"/>
    </row>
    <row r="6" spans="1:8" x14ac:dyDescent="0.25">
      <c r="A6" s="32" t="s">
        <v>40</v>
      </c>
      <c r="B6" s="20"/>
      <c r="C6" s="20"/>
      <c r="D6" s="20"/>
      <c r="E6" s="20"/>
      <c r="F6" s="20"/>
      <c r="G6" s="20"/>
      <c r="H6" s="20"/>
    </row>
    <row r="7" spans="1:8" x14ac:dyDescent="0.25">
      <c r="A7" s="32" t="s">
        <v>41</v>
      </c>
      <c r="B7" s="20"/>
      <c r="C7" s="20"/>
      <c r="D7" s="20"/>
      <c r="E7" s="20"/>
      <c r="F7" s="20"/>
      <c r="G7" s="20"/>
      <c r="H7" s="20"/>
    </row>
    <row r="8" spans="1:8" x14ac:dyDescent="0.25">
      <c r="A8" s="32" t="s">
        <v>44</v>
      </c>
      <c r="B8" s="20"/>
      <c r="C8" s="20"/>
      <c r="D8" s="20"/>
      <c r="E8" s="20"/>
      <c r="F8" s="20"/>
      <c r="G8" s="20"/>
      <c r="H8" s="20"/>
    </row>
    <row r="9" spans="1:8" x14ac:dyDescent="0.25">
      <c r="A9" s="32" t="s">
        <v>45</v>
      </c>
      <c r="B9" s="20"/>
      <c r="C9" s="20"/>
      <c r="D9" s="20"/>
      <c r="E9" s="20"/>
      <c r="F9" s="20"/>
      <c r="G9" s="20"/>
      <c r="H9" s="20"/>
    </row>
    <row r="10" spans="1:8" x14ac:dyDescent="0.25">
      <c r="A10" s="32" t="s">
        <v>42</v>
      </c>
      <c r="B10" s="20"/>
      <c r="C10" s="20"/>
      <c r="D10" s="20"/>
      <c r="E10" s="20"/>
      <c r="F10" s="20"/>
      <c r="G10" s="20"/>
      <c r="H10" s="20"/>
    </row>
    <row r="11" spans="1:8" x14ac:dyDescent="0.25">
      <c r="A11" s="32" t="s">
        <v>43</v>
      </c>
      <c r="B11" s="20"/>
      <c r="C11" s="20"/>
      <c r="D11" s="20"/>
      <c r="E11" s="20"/>
      <c r="F11" s="20"/>
      <c r="G11" s="20"/>
      <c r="H11" s="20"/>
    </row>
    <row r="12" spans="1:8" x14ac:dyDescent="0.25">
      <c r="A12" s="32" t="s">
        <v>46</v>
      </c>
      <c r="B12" s="20"/>
      <c r="C12" s="20"/>
      <c r="D12" s="20"/>
      <c r="E12" s="20"/>
      <c r="F12" s="20"/>
      <c r="G12" s="20"/>
      <c r="H12" s="20"/>
    </row>
    <row r="13" spans="1:8" x14ac:dyDescent="0.25">
      <c r="A13" s="32" t="s">
        <v>48</v>
      </c>
      <c r="B13" s="20"/>
      <c r="C13" s="20"/>
      <c r="D13" s="20"/>
      <c r="E13" s="20"/>
      <c r="F13" s="20"/>
      <c r="G13" s="20"/>
      <c r="H13" s="20"/>
    </row>
    <row r="14" spans="1:8" x14ac:dyDescent="0.25">
      <c r="A14" s="32" t="s">
        <v>47</v>
      </c>
      <c r="B14" s="20"/>
      <c r="C14" s="20"/>
      <c r="D14" s="20"/>
      <c r="E14" s="20"/>
      <c r="F14" s="20"/>
      <c r="G14" s="20"/>
      <c r="H14" s="20"/>
    </row>
    <row r="15" spans="1:8" ht="15.75" x14ac:dyDescent="0.25">
      <c r="A15" s="62" t="s">
        <v>49</v>
      </c>
      <c r="B15" s="63"/>
      <c r="C15" s="63"/>
      <c r="D15" s="63"/>
      <c r="E15" s="63"/>
      <c r="F15" s="63"/>
      <c r="G15" s="63"/>
      <c r="H15" s="64"/>
    </row>
    <row r="16" spans="1:8" x14ac:dyDescent="0.25">
      <c r="A16" s="33" t="s">
        <v>50</v>
      </c>
      <c r="B16" s="20"/>
      <c r="C16" s="20"/>
      <c r="D16" s="20"/>
      <c r="E16" s="20"/>
      <c r="F16" s="20"/>
      <c r="G16" s="20"/>
      <c r="H16" s="20"/>
    </row>
    <row r="17" spans="1:8" x14ac:dyDescent="0.25">
      <c r="A17" s="33" t="s">
        <v>51</v>
      </c>
      <c r="B17" s="20"/>
      <c r="C17" s="20"/>
      <c r="D17" s="20"/>
      <c r="E17" s="20"/>
      <c r="F17" s="20"/>
      <c r="G17" s="20"/>
      <c r="H17" s="20"/>
    </row>
    <row r="18" spans="1:8" x14ac:dyDescent="0.25">
      <c r="A18" s="33" t="s">
        <v>91</v>
      </c>
      <c r="B18" s="21"/>
      <c r="C18" s="21"/>
      <c r="D18" s="21"/>
      <c r="E18" s="21"/>
      <c r="F18" s="21"/>
      <c r="G18" s="21"/>
      <c r="H18" s="21"/>
    </row>
    <row r="19" spans="1:8" x14ac:dyDescent="0.25">
      <c r="A19" s="33" t="s">
        <v>52</v>
      </c>
      <c r="B19" s="20"/>
      <c r="C19" s="20"/>
      <c r="D19" s="20"/>
      <c r="E19" s="20"/>
      <c r="F19" s="20"/>
      <c r="G19" s="20"/>
      <c r="H19" s="20"/>
    </row>
    <row r="20" spans="1:8" x14ac:dyDescent="0.25">
      <c r="A20" s="33" t="s">
        <v>53</v>
      </c>
      <c r="B20" s="20"/>
      <c r="C20" s="20"/>
      <c r="D20" s="20"/>
      <c r="E20" s="20"/>
      <c r="F20" s="20"/>
      <c r="G20" s="20"/>
      <c r="H20" s="20"/>
    </row>
    <row r="21" spans="1:8" x14ac:dyDescent="0.25">
      <c r="A21" s="33" t="s">
        <v>48</v>
      </c>
      <c r="B21" s="20"/>
      <c r="C21" s="20"/>
      <c r="D21" s="20"/>
      <c r="E21" s="20"/>
      <c r="F21" s="20"/>
      <c r="G21" s="20"/>
      <c r="H21" s="20"/>
    </row>
    <row r="22" spans="1:8" ht="15.75" x14ac:dyDescent="0.25">
      <c r="A22" s="62" t="s">
        <v>54</v>
      </c>
      <c r="B22" s="65"/>
      <c r="C22" s="65"/>
      <c r="D22" s="65"/>
      <c r="E22" s="65"/>
      <c r="F22" s="65"/>
      <c r="G22" s="65"/>
      <c r="H22" s="66"/>
    </row>
    <row r="23" spans="1:8" x14ac:dyDescent="0.25">
      <c r="A23" s="33" t="s">
        <v>102</v>
      </c>
      <c r="B23" s="20"/>
      <c r="C23" s="20"/>
      <c r="D23" s="20"/>
      <c r="E23" s="20"/>
      <c r="F23" s="20"/>
      <c r="G23" s="20"/>
      <c r="H23" s="20"/>
    </row>
    <row r="24" spans="1:8" x14ac:dyDescent="0.25">
      <c r="A24" s="33" t="s">
        <v>56</v>
      </c>
      <c r="B24" s="20"/>
      <c r="C24" s="20"/>
      <c r="D24" s="20"/>
      <c r="E24" s="20"/>
      <c r="F24" s="20"/>
      <c r="G24" s="20"/>
      <c r="H24" s="20"/>
    </row>
    <row r="25" spans="1:8" x14ac:dyDescent="0.25">
      <c r="A25" s="33" t="s">
        <v>57</v>
      </c>
      <c r="B25" s="20"/>
      <c r="C25" s="20"/>
      <c r="D25" s="20"/>
      <c r="E25" s="20"/>
      <c r="F25" s="20"/>
      <c r="G25" s="20"/>
      <c r="H25" s="20"/>
    </row>
    <row r="26" spans="1:8" x14ac:dyDescent="0.25">
      <c r="A26" s="33" t="s">
        <v>93</v>
      </c>
      <c r="B26" s="21"/>
      <c r="C26" s="21"/>
      <c r="D26" s="21"/>
      <c r="E26" s="21"/>
      <c r="F26" s="21"/>
      <c r="G26" s="21"/>
      <c r="H26" s="21"/>
    </row>
    <row r="27" spans="1:8" x14ac:dyDescent="0.25">
      <c r="A27" s="33" t="s">
        <v>58</v>
      </c>
      <c r="B27" s="20"/>
      <c r="C27" s="20"/>
      <c r="D27" s="20"/>
      <c r="E27" s="20"/>
      <c r="F27" s="20"/>
      <c r="G27" s="20"/>
      <c r="H27" s="20"/>
    </row>
    <row r="28" spans="1:8" x14ac:dyDescent="0.25">
      <c r="A28" s="33" t="s">
        <v>59</v>
      </c>
      <c r="B28" s="20"/>
      <c r="C28" s="20"/>
      <c r="D28" s="20"/>
      <c r="E28" s="20"/>
      <c r="F28" s="20"/>
      <c r="G28" s="20"/>
      <c r="H28" s="20"/>
    </row>
    <row r="29" spans="1:8" x14ac:dyDescent="0.25">
      <c r="A29" s="33" t="s">
        <v>60</v>
      </c>
      <c r="B29" s="20"/>
      <c r="C29" s="20"/>
      <c r="D29" s="20"/>
      <c r="E29" s="20"/>
      <c r="F29" s="20"/>
      <c r="G29" s="20"/>
      <c r="H29" s="20"/>
    </row>
    <row r="30" spans="1:8" x14ac:dyDescent="0.25">
      <c r="A30" s="33" t="s">
        <v>61</v>
      </c>
      <c r="B30" s="20"/>
      <c r="C30" s="20"/>
      <c r="D30" s="20"/>
      <c r="E30" s="20"/>
      <c r="F30" s="20"/>
      <c r="G30" s="20"/>
      <c r="H30" s="20"/>
    </row>
    <row r="31" spans="1:8" x14ac:dyDescent="0.25">
      <c r="A31" s="33" t="s">
        <v>62</v>
      </c>
      <c r="B31" s="20"/>
      <c r="C31" s="20"/>
      <c r="D31" s="20"/>
      <c r="E31" s="20"/>
      <c r="F31" s="20"/>
      <c r="G31" s="20"/>
      <c r="H31" s="20"/>
    </row>
    <row r="32" spans="1:8" x14ac:dyDescent="0.25">
      <c r="A32" s="33" t="s">
        <v>68</v>
      </c>
      <c r="B32" s="20"/>
      <c r="C32" s="20"/>
      <c r="D32" s="20"/>
      <c r="E32" s="20"/>
      <c r="F32" s="20"/>
      <c r="G32" s="20"/>
      <c r="H32" s="20"/>
    </row>
    <row r="33" spans="1:8" x14ac:dyDescent="0.25">
      <c r="A33" s="34" t="s">
        <v>90</v>
      </c>
      <c r="B33" s="21"/>
      <c r="C33" s="21"/>
      <c r="D33" s="21"/>
      <c r="E33" s="21"/>
      <c r="F33" s="21"/>
      <c r="G33" s="21"/>
      <c r="H33" s="21"/>
    </row>
    <row r="34" spans="1:8" x14ac:dyDescent="0.25">
      <c r="A34" s="33" t="s">
        <v>69</v>
      </c>
      <c r="B34" s="20"/>
      <c r="C34" s="20"/>
      <c r="D34" s="20"/>
      <c r="E34" s="20"/>
      <c r="F34" s="20"/>
      <c r="G34" s="20"/>
      <c r="H34" s="20"/>
    </row>
    <row r="35" spans="1:8" x14ac:dyDescent="0.25">
      <c r="A35" s="33" t="s">
        <v>76</v>
      </c>
      <c r="B35" s="20"/>
      <c r="C35" s="20"/>
      <c r="D35" s="20"/>
      <c r="E35" s="20"/>
      <c r="F35" s="20"/>
      <c r="G35" s="20"/>
      <c r="H35" s="20"/>
    </row>
    <row r="36" spans="1:8" x14ac:dyDescent="0.25">
      <c r="A36" s="33" t="s">
        <v>70</v>
      </c>
      <c r="B36" s="20"/>
      <c r="C36" s="20"/>
      <c r="D36" s="20"/>
      <c r="E36" s="20"/>
      <c r="F36" s="20"/>
      <c r="G36" s="20"/>
      <c r="H36" s="20"/>
    </row>
    <row r="37" spans="1:8" x14ac:dyDescent="0.25">
      <c r="A37" s="33" t="s">
        <v>71</v>
      </c>
      <c r="B37" s="20"/>
      <c r="C37" s="20"/>
      <c r="D37" s="20"/>
      <c r="E37" s="20"/>
      <c r="F37" s="20"/>
      <c r="G37" s="20"/>
      <c r="H37" s="20"/>
    </row>
    <row r="38" spans="1:8" x14ac:dyDescent="0.25">
      <c r="A38" s="31"/>
      <c r="B38" s="23"/>
      <c r="C38" s="23"/>
      <c r="D38" s="23"/>
      <c r="E38" s="23"/>
      <c r="F38" s="23"/>
      <c r="G38" s="23"/>
      <c r="H38" s="24"/>
    </row>
    <row r="39" spans="1:8" ht="15.75" x14ac:dyDescent="0.25">
      <c r="A39" s="62" t="s">
        <v>63</v>
      </c>
      <c r="B39" s="65"/>
      <c r="C39" s="65"/>
      <c r="D39" s="65"/>
      <c r="E39" s="65"/>
      <c r="F39" s="65"/>
      <c r="G39" s="65"/>
      <c r="H39" s="66"/>
    </row>
    <row r="40" spans="1:8" x14ac:dyDescent="0.25">
      <c r="A40" s="33" t="s">
        <v>64</v>
      </c>
      <c r="B40" s="26"/>
      <c r="C40" s="26"/>
      <c r="D40" s="26"/>
      <c r="E40" s="26"/>
      <c r="F40" s="26"/>
      <c r="G40" s="26"/>
      <c r="H40" s="27"/>
    </row>
    <row r="41" spans="1:8" x14ac:dyDescent="0.25">
      <c r="A41" s="33" t="s">
        <v>65</v>
      </c>
      <c r="B41" s="26"/>
      <c r="C41" s="26"/>
      <c r="D41" s="26"/>
      <c r="E41" s="26"/>
      <c r="F41" s="26"/>
      <c r="G41" s="26"/>
      <c r="H41" s="27"/>
    </row>
    <row r="42" spans="1:8" x14ac:dyDescent="0.25">
      <c r="A42" s="33" t="s">
        <v>66</v>
      </c>
      <c r="B42" s="44"/>
      <c r="C42" s="44"/>
      <c r="D42" s="44"/>
      <c r="E42" s="44"/>
      <c r="F42" s="44"/>
      <c r="G42" s="44"/>
      <c r="H42" s="44"/>
    </row>
    <row r="43" spans="1:8" x14ac:dyDescent="0.25">
      <c r="A43" s="33" t="s">
        <v>67</v>
      </c>
      <c r="B43" s="44"/>
      <c r="C43" s="44"/>
      <c r="D43" s="44"/>
      <c r="E43" s="44"/>
      <c r="F43" s="44"/>
      <c r="G43" s="44"/>
      <c r="H43" s="44"/>
    </row>
    <row r="45" spans="1:8" ht="18.75" x14ac:dyDescent="0.25">
      <c r="A45" s="40" t="s">
        <v>2</v>
      </c>
      <c r="B45" s="41"/>
      <c r="C45" s="41"/>
      <c r="D45" s="41"/>
      <c r="E45" s="41"/>
      <c r="F45" s="41"/>
      <c r="G45" s="41"/>
      <c r="H45" s="41"/>
    </row>
    <row r="46" spans="1:8" x14ac:dyDescent="0.25">
      <c r="A46" s="10" t="s">
        <v>3</v>
      </c>
      <c r="B46" s="10" t="s">
        <v>4</v>
      </c>
      <c r="C46" s="10" t="s">
        <v>5</v>
      </c>
      <c r="D46" s="45" t="s">
        <v>6</v>
      </c>
      <c r="E46" s="45"/>
      <c r="F46" s="45"/>
      <c r="G46" s="45"/>
      <c r="H46" s="45"/>
    </row>
    <row r="47" spans="1:8" x14ac:dyDescent="0.25">
      <c r="A47" s="1"/>
      <c r="B47" s="4"/>
      <c r="C47" s="4"/>
      <c r="D47" s="44"/>
      <c r="E47" s="44"/>
      <c r="F47" s="44"/>
      <c r="G47" s="44"/>
      <c r="H47" s="44"/>
    </row>
    <row r="48" spans="1:8" x14ac:dyDescent="0.25">
      <c r="A48" s="33" t="s">
        <v>7</v>
      </c>
      <c r="B48" s="4"/>
      <c r="C48" s="4"/>
      <c r="D48" s="44" t="s">
        <v>103</v>
      </c>
      <c r="E48" s="44"/>
      <c r="F48" s="44"/>
      <c r="G48" s="44"/>
      <c r="H48" s="44"/>
    </row>
    <row r="49" spans="1:8" x14ac:dyDescent="0.25">
      <c r="A49" s="33" t="s">
        <v>8</v>
      </c>
      <c r="B49" s="4"/>
      <c r="C49" s="4"/>
      <c r="D49" s="47"/>
      <c r="E49" s="47"/>
      <c r="F49" s="47"/>
      <c r="G49" s="47"/>
      <c r="H49" s="47"/>
    </row>
    <row r="50" spans="1:8" x14ac:dyDescent="0.25">
      <c r="A50" s="33" t="s">
        <v>9</v>
      </c>
      <c r="B50" s="4"/>
      <c r="C50" s="4"/>
      <c r="D50" s="44"/>
      <c r="E50" s="44"/>
      <c r="F50" s="44"/>
      <c r="G50" s="44"/>
      <c r="H50" s="44"/>
    </row>
    <row r="51" spans="1:8" x14ac:dyDescent="0.25">
      <c r="A51" s="33" t="s">
        <v>10</v>
      </c>
      <c r="C51" s="7">
        <f>SUM(C47:C50)</f>
        <v>0</v>
      </c>
      <c r="D51" s="50"/>
      <c r="E51" s="51"/>
      <c r="F51" s="51"/>
      <c r="G51" s="51"/>
      <c r="H51" s="51"/>
    </row>
    <row r="53" spans="1:8" ht="18.75" x14ac:dyDescent="0.25">
      <c r="A53" s="42" t="s">
        <v>11</v>
      </c>
      <c r="B53" s="43"/>
      <c r="C53" s="43"/>
      <c r="D53" s="43"/>
      <c r="E53" s="43"/>
      <c r="F53" s="43"/>
      <c r="G53" s="43"/>
      <c r="H53" s="43"/>
    </row>
    <row r="54" spans="1:8" x14ac:dyDescent="0.25">
      <c r="A54" s="10" t="s">
        <v>3</v>
      </c>
      <c r="B54" s="10" t="s">
        <v>4</v>
      </c>
      <c r="C54" s="10" t="s">
        <v>5</v>
      </c>
      <c r="D54" s="45" t="s">
        <v>6</v>
      </c>
      <c r="E54" s="45"/>
      <c r="F54" s="45"/>
      <c r="G54" s="45"/>
      <c r="H54" s="45"/>
    </row>
    <row r="55" spans="1:8" x14ac:dyDescent="0.25">
      <c r="A55" s="33" t="s">
        <v>12</v>
      </c>
      <c r="B55" s="6"/>
      <c r="C55" s="4"/>
      <c r="D55" s="46"/>
      <c r="E55" s="46"/>
      <c r="F55" s="46"/>
      <c r="G55" s="46"/>
      <c r="H55" s="46"/>
    </row>
    <row r="56" spans="1:8" x14ac:dyDescent="0.25">
      <c r="A56" s="33" t="s">
        <v>13</v>
      </c>
      <c r="B56" s="6">
        <v>25</v>
      </c>
      <c r="C56" s="4">
        <v>25</v>
      </c>
      <c r="D56" s="44"/>
      <c r="E56" s="44"/>
      <c r="F56" s="44"/>
      <c r="G56" s="44"/>
      <c r="H56" s="44"/>
    </row>
    <row r="57" spans="1:8" x14ac:dyDescent="0.25">
      <c r="A57" s="33" t="s">
        <v>92</v>
      </c>
      <c r="B57" s="6">
        <v>25</v>
      </c>
      <c r="C57" s="4">
        <v>25</v>
      </c>
      <c r="D57" s="44"/>
      <c r="E57" s="44"/>
      <c r="F57" s="44"/>
      <c r="G57" s="44"/>
      <c r="H57" s="44"/>
    </row>
    <row r="58" spans="1:8" x14ac:dyDescent="0.25">
      <c r="A58" s="33" t="s">
        <v>99</v>
      </c>
      <c r="B58" s="6"/>
      <c r="C58" s="22"/>
      <c r="D58" s="21"/>
      <c r="E58" s="21"/>
      <c r="F58" s="21"/>
      <c r="G58" s="21"/>
      <c r="H58" s="21"/>
    </row>
    <row r="59" spans="1:8" x14ac:dyDescent="0.25">
      <c r="A59" s="33" t="s">
        <v>100</v>
      </c>
      <c r="B59" s="6"/>
      <c r="C59" s="22"/>
      <c r="D59" s="21"/>
      <c r="E59" s="21"/>
      <c r="F59" s="21"/>
      <c r="G59" s="21"/>
      <c r="H59" s="21"/>
    </row>
    <row r="60" spans="1:8" ht="16.5" x14ac:dyDescent="0.25">
      <c r="A60" s="67" t="s">
        <v>107</v>
      </c>
      <c r="B60" s="6">
        <v>25</v>
      </c>
      <c r="C60" s="4">
        <v>25</v>
      </c>
      <c r="D60" s="44"/>
      <c r="E60" s="44"/>
      <c r="F60" s="44"/>
      <c r="G60" s="44"/>
      <c r="H60" s="44"/>
    </row>
    <row r="61" spans="1:8" ht="16.5" x14ac:dyDescent="0.25">
      <c r="A61" s="36" t="s">
        <v>101</v>
      </c>
      <c r="B61" s="6">
        <v>25</v>
      </c>
      <c r="C61" s="4">
        <v>25</v>
      </c>
      <c r="D61" s="44"/>
      <c r="E61" s="44"/>
      <c r="F61" s="44"/>
      <c r="G61" s="44"/>
      <c r="H61" s="44"/>
    </row>
    <row r="62" spans="1:8" x14ac:dyDescent="0.25">
      <c r="A62" s="33" t="s">
        <v>104</v>
      </c>
      <c r="B62" s="4">
        <v>25</v>
      </c>
      <c r="C62" s="4">
        <v>25</v>
      </c>
      <c r="D62" s="48"/>
      <c r="E62" s="49"/>
      <c r="F62" s="49"/>
      <c r="G62" s="49"/>
      <c r="H62" s="49"/>
    </row>
    <row r="63" spans="1:8" x14ac:dyDescent="0.25">
      <c r="A63" s="33" t="s">
        <v>14</v>
      </c>
      <c r="C63" s="7">
        <f>SUM(C55:C62)</f>
        <v>125</v>
      </c>
      <c r="D63" s="50"/>
      <c r="E63" s="51"/>
      <c r="F63" s="51"/>
      <c r="G63" s="51"/>
      <c r="H63" s="51"/>
    </row>
    <row r="65" spans="1:22" ht="18.75" x14ac:dyDescent="0.25">
      <c r="A65" s="40" t="s">
        <v>15</v>
      </c>
      <c r="B65" s="41"/>
      <c r="C65" s="41"/>
      <c r="D65" s="41"/>
      <c r="E65" s="41"/>
      <c r="F65" s="41"/>
      <c r="G65" s="41"/>
      <c r="H65" s="41"/>
    </row>
    <row r="66" spans="1:22" x14ac:dyDescent="0.25">
      <c r="A66" s="10" t="s">
        <v>3</v>
      </c>
      <c r="B66" s="10" t="s">
        <v>4</v>
      </c>
      <c r="C66" s="10" t="s">
        <v>5</v>
      </c>
      <c r="D66" s="45" t="s">
        <v>6</v>
      </c>
      <c r="E66" s="45"/>
      <c r="F66" s="45"/>
      <c r="G66" s="45"/>
      <c r="H66" s="45"/>
    </row>
    <row r="67" spans="1:22" x14ac:dyDescent="0.25">
      <c r="A67" s="33" t="s">
        <v>72</v>
      </c>
      <c r="B67" s="6">
        <v>36</v>
      </c>
      <c r="C67" s="4">
        <v>36</v>
      </c>
      <c r="D67" s="46"/>
      <c r="E67" s="46"/>
      <c r="F67" s="46"/>
      <c r="G67" s="46"/>
      <c r="H67" s="46"/>
    </row>
    <row r="68" spans="1:22" x14ac:dyDescent="0.25">
      <c r="A68" s="33" t="s">
        <v>105</v>
      </c>
      <c r="B68" s="6">
        <v>36</v>
      </c>
      <c r="C68" s="4">
        <v>36</v>
      </c>
      <c r="D68" s="44"/>
      <c r="E68" s="44"/>
      <c r="F68" s="44"/>
      <c r="G68" s="44"/>
      <c r="H68" s="44"/>
    </row>
    <row r="69" spans="1:22" x14ac:dyDescent="0.25">
      <c r="A69" s="33" t="s">
        <v>16</v>
      </c>
      <c r="B69" s="6">
        <v>36</v>
      </c>
      <c r="C69" s="4">
        <v>36</v>
      </c>
      <c r="D69" s="44"/>
      <c r="E69" s="44"/>
      <c r="F69" s="44"/>
      <c r="G69" s="44"/>
      <c r="H69" s="44"/>
    </row>
    <row r="70" spans="1:22" x14ac:dyDescent="0.25">
      <c r="A70" s="33" t="s">
        <v>17</v>
      </c>
      <c r="B70" s="6">
        <v>36</v>
      </c>
      <c r="C70" s="4">
        <v>36</v>
      </c>
      <c r="D70" s="44"/>
      <c r="E70" s="44"/>
      <c r="F70" s="44"/>
      <c r="G70" s="44"/>
      <c r="H70" s="44"/>
      <c r="N70" s="8"/>
      <c r="O70" s="8"/>
      <c r="P70" s="8"/>
      <c r="Q70" s="8"/>
      <c r="R70" s="8"/>
      <c r="S70" s="8"/>
      <c r="T70" s="8"/>
      <c r="U70" s="8"/>
      <c r="V70" s="8"/>
    </row>
    <row r="71" spans="1:22" x14ac:dyDescent="0.25">
      <c r="A71" s="33" t="s">
        <v>18</v>
      </c>
      <c r="B71" s="6">
        <v>36</v>
      </c>
      <c r="C71" s="4">
        <v>36</v>
      </c>
      <c r="D71" s="44"/>
      <c r="E71" s="44"/>
      <c r="F71" s="44"/>
      <c r="G71" s="44"/>
      <c r="H71" s="44"/>
      <c r="N71" s="8"/>
      <c r="O71" s="8"/>
      <c r="P71" s="9"/>
      <c r="Q71" s="9"/>
      <c r="R71" s="60"/>
      <c r="S71" s="60"/>
      <c r="T71" s="60"/>
      <c r="U71" s="60"/>
      <c r="V71" s="60"/>
    </row>
    <row r="72" spans="1:22" x14ac:dyDescent="0.25">
      <c r="A72" s="33" t="s">
        <v>19</v>
      </c>
      <c r="B72" s="6">
        <v>36</v>
      </c>
      <c r="C72" s="4">
        <v>36</v>
      </c>
      <c r="D72" s="44"/>
      <c r="E72" s="44"/>
      <c r="F72" s="44"/>
      <c r="G72" s="44"/>
      <c r="H72" s="44"/>
      <c r="N72" s="8"/>
      <c r="O72" s="8"/>
      <c r="P72" s="8"/>
      <c r="Q72" s="8"/>
      <c r="R72" s="61"/>
      <c r="S72" s="61"/>
      <c r="T72" s="61"/>
      <c r="U72" s="61"/>
      <c r="V72" s="61"/>
    </row>
    <row r="73" spans="1:22" x14ac:dyDescent="0.25">
      <c r="A73" s="33" t="s">
        <v>94</v>
      </c>
      <c r="B73" s="6"/>
      <c r="C73" s="22"/>
      <c r="D73" s="24"/>
      <c r="E73" s="21"/>
      <c r="F73" s="21"/>
      <c r="G73" s="21"/>
      <c r="H73" s="21"/>
      <c r="N73" s="8"/>
      <c r="O73" s="8"/>
      <c r="P73" s="8"/>
      <c r="Q73" s="8"/>
      <c r="R73" s="25"/>
      <c r="S73" s="25"/>
      <c r="T73" s="25"/>
      <c r="U73" s="25"/>
      <c r="V73" s="25"/>
    </row>
    <row r="74" spans="1:22" x14ac:dyDescent="0.25">
      <c r="A74" s="33" t="s">
        <v>95</v>
      </c>
      <c r="B74" s="6"/>
      <c r="C74" s="22"/>
      <c r="D74" s="24"/>
      <c r="E74" s="21"/>
      <c r="F74" s="21"/>
      <c r="G74" s="21"/>
      <c r="H74" s="21"/>
      <c r="N74" s="8"/>
      <c r="O74" s="8"/>
      <c r="P74" s="8"/>
      <c r="Q74" s="8"/>
      <c r="R74" s="25"/>
      <c r="S74" s="25"/>
      <c r="T74" s="25"/>
      <c r="U74" s="25"/>
      <c r="V74" s="25"/>
    </row>
    <row r="75" spans="1:22" x14ac:dyDescent="0.25">
      <c r="A75" s="33" t="s">
        <v>96</v>
      </c>
      <c r="B75" s="6"/>
      <c r="C75" s="22"/>
      <c r="D75" s="24"/>
      <c r="E75" s="21"/>
      <c r="F75" s="21"/>
      <c r="G75" s="21"/>
      <c r="H75" s="21"/>
      <c r="N75" s="8"/>
      <c r="O75" s="8"/>
      <c r="P75" s="8"/>
      <c r="Q75" s="8"/>
      <c r="R75" s="25"/>
      <c r="S75" s="25"/>
      <c r="T75" s="25"/>
      <c r="U75" s="25"/>
      <c r="V75" s="25"/>
    </row>
    <row r="76" spans="1:22" x14ac:dyDescent="0.25">
      <c r="A76" s="33" t="s">
        <v>97</v>
      </c>
      <c r="B76" s="6"/>
      <c r="C76" s="22"/>
      <c r="D76" s="24"/>
      <c r="E76" s="21"/>
      <c r="F76" s="21"/>
      <c r="G76" s="21"/>
      <c r="H76" s="21"/>
      <c r="N76" s="8"/>
      <c r="O76" s="8"/>
      <c r="P76" s="8"/>
      <c r="Q76" s="8"/>
      <c r="R76" s="25"/>
      <c r="S76" s="25"/>
      <c r="T76" s="25"/>
      <c r="U76" s="25"/>
      <c r="V76" s="25"/>
    </row>
    <row r="77" spans="1:22" x14ac:dyDescent="0.25">
      <c r="A77" s="33" t="s">
        <v>98</v>
      </c>
      <c r="B77" s="6"/>
      <c r="C77" s="22"/>
      <c r="D77" s="24"/>
      <c r="E77" s="21"/>
      <c r="F77" s="21"/>
      <c r="G77" s="21"/>
      <c r="H77" s="21"/>
      <c r="N77" s="8"/>
      <c r="O77" s="8"/>
      <c r="P77" s="8"/>
      <c r="Q77" s="8"/>
      <c r="R77" s="25"/>
      <c r="S77" s="25"/>
      <c r="T77" s="25"/>
      <c r="U77" s="25"/>
      <c r="V77" s="25"/>
    </row>
    <row r="78" spans="1:22" x14ac:dyDescent="0.25">
      <c r="A78" s="33" t="s">
        <v>106</v>
      </c>
      <c r="B78" s="4">
        <v>0</v>
      </c>
      <c r="C78" s="7">
        <v>0</v>
      </c>
      <c r="D78" s="48"/>
      <c r="E78" s="49"/>
      <c r="F78" s="49"/>
      <c r="G78" s="49"/>
      <c r="H78" s="49"/>
      <c r="N78" s="8"/>
      <c r="O78" s="8"/>
      <c r="P78" s="8"/>
      <c r="Q78" s="8"/>
      <c r="R78" s="8"/>
      <c r="S78" s="8"/>
      <c r="T78" s="8"/>
      <c r="U78" s="8"/>
      <c r="V78" s="8"/>
    </row>
    <row r="79" spans="1:22" x14ac:dyDescent="0.25">
      <c r="A79" s="33" t="s">
        <v>20</v>
      </c>
      <c r="C79" s="4"/>
      <c r="D79" s="50"/>
      <c r="E79" s="51"/>
      <c r="F79" s="51"/>
      <c r="G79" s="51"/>
      <c r="H79" s="51"/>
    </row>
    <row r="81" spans="1:8" ht="18.75" x14ac:dyDescent="0.25">
      <c r="A81" s="40" t="s">
        <v>21</v>
      </c>
      <c r="B81" s="41"/>
      <c r="C81" s="41"/>
      <c r="D81" s="41"/>
      <c r="E81" s="41"/>
      <c r="F81" s="41"/>
      <c r="G81" s="41"/>
      <c r="H81" s="41"/>
    </row>
    <row r="82" spans="1:8" x14ac:dyDescent="0.25">
      <c r="A82" s="10" t="s">
        <v>3</v>
      </c>
      <c r="B82" s="10" t="s">
        <v>4</v>
      </c>
      <c r="C82" s="10" t="s">
        <v>5</v>
      </c>
      <c r="D82" s="54" t="s">
        <v>6</v>
      </c>
      <c r="E82" s="55"/>
      <c r="F82" s="55"/>
      <c r="G82" s="55"/>
      <c r="H82" s="56"/>
    </row>
    <row r="83" spans="1:8" x14ac:dyDescent="0.25">
      <c r="A83" s="38" t="s">
        <v>77</v>
      </c>
      <c r="B83" s="7">
        <v>33</v>
      </c>
      <c r="C83" s="4">
        <v>33</v>
      </c>
      <c r="D83" s="46"/>
      <c r="E83" s="46"/>
      <c r="F83" s="46"/>
      <c r="G83" s="46"/>
      <c r="H83" s="46"/>
    </row>
    <row r="84" spans="1:8" x14ac:dyDescent="0.25">
      <c r="A84" s="33" t="s">
        <v>22</v>
      </c>
      <c r="B84" s="7">
        <v>33</v>
      </c>
      <c r="C84" s="5">
        <v>33</v>
      </c>
      <c r="D84" s="46"/>
      <c r="E84" s="46"/>
      <c r="F84" s="46"/>
      <c r="G84" s="46"/>
      <c r="H84" s="46"/>
    </row>
    <row r="85" spans="1:8" x14ac:dyDescent="0.25">
      <c r="A85" s="33" t="s">
        <v>23</v>
      </c>
      <c r="B85" s="7">
        <v>33</v>
      </c>
      <c r="C85" s="5">
        <v>33</v>
      </c>
      <c r="D85" s="46"/>
      <c r="E85" s="46"/>
      <c r="F85" s="46"/>
      <c r="G85" s="46"/>
      <c r="H85" s="46"/>
    </row>
    <row r="86" spans="1:8" x14ac:dyDescent="0.25">
      <c r="A86" s="33" t="s">
        <v>24</v>
      </c>
      <c r="B86" s="7">
        <v>33</v>
      </c>
      <c r="C86" s="5">
        <v>33</v>
      </c>
      <c r="D86" s="46"/>
      <c r="E86" s="46"/>
      <c r="F86" s="46"/>
      <c r="G86" s="46"/>
      <c r="H86" s="46"/>
    </row>
    <row r="87" spans="1:8" x14ac:dyDescent="0.25">
      <c r="A87" s="33" t="s">
        <v>73</v>
      </c>
      <c r="B87" s="7">
        <v>33</v>
      </c>
      <c r="C87" s="5">
        <v>33</v>
      </c>
      <c r="D87" s="46"/>
      <c r="E87" s="46"/>
      <c r="F87" s="46"/>
      <c r="G87" s="46"/>
      <c r="H87" s="46"/>
    </row>
    <row r="88" spans="1:8" x14ac:dyDescent="0.25">
      <c r="A88" s="33" t="s">
        <v>74</v>
      </c>
      <c r="B88" s="4">
        <v>33</v>
      </c>
      <c r="C88" s="5">
        <v>33</v>
      </c>
      <c r="D88" s="48"/>
      <c r="E88" s="49"/>
      <c r="F88" s="49"/>
      <c r="G88" s="49"/>
      <c r="H88" s="49"/>
    </row>
    <row r="89" spans="1:8" ht="30" x14ac:dyDescent="0.25">
      <c r="A89" s="38" t="s">
        <v>78</v>
      </c>
      <c r="B89" s="19">
        <v>33</v>
      </c>
      <c r="C89" s="19">
        <v>33</v>
      </c>
      <c r="D89" s="48"/>
      <c r="E89" s="49"/>
      <c r="F89" s="49"/>
      <c r="G89" s="49"/>
      <c r="H89" s="49"/>
    </row>
    <row r="90" spans="1:8" x14ac:dyDescent="0.25">
      <c r="A90" s="33" t="s">
        <v>79</v>
      </c>
      <c r="B90" s="9"/>
      <c r="C90" s="19"/>
      <c r="D90" s="14"/>
      <c r="E90" s="14"/>
      <c r="F90" s="14"/>
      <c r="G90" s="14"/>
      <c r="H90" s="14"/>
    </row>
    <row r="91" spans="1:8" x14ac:dyDescent="0.25">
      <c r="A91" s="33" t="s">
        <v>80</v>
      </c>
      <c r="B91" s="9"/>
      <c r="C91" s="19"/>
      <c r="D91" s="14"/>
      <c r="E91" s="14"/>
      <c r="F91" s="14"/>
      <c r="G91" s="14"/>
      <c r="H91" s="14"/>
    </row>
    <row r="92" spans="1:8" x14ac:dyDescent="0.25">
      <c r="A92" s="33" t="s">
        <v>81</v>
      </c>
      <c r="B92" s="9"/>
      <c r="C92" s="19"/>
      <c r="D92" s="14"/>
      <c r="E92" s="14"/>
      <c r="F92" s="14"/>
      <c r="G92" s="14"/>
      <c r="H92" s="14"/>
    </row>
    <row r="93" spans="1:8" x14ac:dyDescent="0.25">
      <c r="A93" s="33" t="s">
        <v>25</v>
      </c>
      <c r="C93" s="7">
        <f>SUM(C83:C88)</f>
        <v>198</v>
      </c>
    </row>
    <row r="95" spans="1:8" ht="18.75" x14ac:dyDescent="0.25">
      <c r="A95" s="40" t="s">
        <v>26</v>
      </c>
      <c r="B95" s="41"/>
      <c r="C95" s="41"/>
      <c r="D95" s="41"/>
      <c r="E95" s="41"/>
      <c r="F95" s="41"/>
      <c r="G95" s="41"/>
      <c r="H95" s="41"/>
    </row>
    <row r="96" spans="1:8" x14ac:dyDescent="0.25">
      <c r="A96" s="10" t="s">
        <v>3</v>
      </c>
      <c r="B96" s="10" t="s">
        <v>4</v>
      </c>
      <c r="C96" s="10" t="s">
        <v>5</v>
      </c>
      <c r="D96" s="45" t="s">
        <v>6</v>
      </c>
      <c r="E96" s="45"/>
      <c r="F96" s="45"/>
      <c r="G96" s="45"/>
      <c r="H96" s="45"/>
    </row>
    <row r="97" spans="1:8" x14ac:dyDescent="0.25">
      <c r="A97" s="33" t="s">
        <v>27</v>
      </c>
      <c r="B97" s="4">
        <v>25</v>
      </c>
      <c r="C97" s="4">
        <v>25</v>
      </c>
      <c r="D97" s="59"/>
      <c r="E97" s="57"/>
      <c r="F97" s="57"/>
      <c r="G97" s="57"/>
      <c r="H97" s="58"/>
    </row>
    <row r="98" spans="1:8" x14ac:dyDescent="0.25">
      <c r="A98" s="33" t="s">
        <v>28</v>
      </c>
      <c r="B98" s="4">
        <v>25</v>
      </c>
      <c r="C98" s="4">
        <v>25</v>
      </c>
      <c r="D98" s="59"/>
      <c r="E98" s="57"/>
      <c r="F98" s="57"/>
      <c r="G98" s="57"/>
      <c r="H98" s="58"/>
    </row>
    <row r="99" spans="1:8" ht="30" x14ac:dyDescent="0.25">
      <c r="A99" s="38" t="s">
        <v>88</v>
      </c>
      <c r="B99" s="4">
        <v>25</v>
      </c>
      <c r="C99" s="4">
        <v>25</v>
      </c>
      <c r="D99" s="48"/>
      <c r="E99" s="49"/>
      <c r="F99" s="49"/>
      <c r="G99" s="49"/>
      <c r="H99" s="49"/>
    </row>
    <row r="100" spans="1:8" x14ac:dyDescent="0.25">
      <c r="A100" s="33" t="s">
        <v>29</v>
      </c>
      <c r="C100" s="4">
        <f>SUM(C97:C99)</f>
        <v>75</v>
      </c>
      <c r="D100" s="50"/>
      <c r="E100" s="51"/>
      <c r="F100" s="51"/>
      <c r="G100" s="51"/>
      <c r="H100" s="51"/>
    </row>
    <row r="102" spans="1:8" ht="18.75" x14ac:dyDescent="0.25">
      <c r="A102" s="42" t="s">
        <v>82</v>
      </c>
      <c r="B102" s="41"/>
      <c r="C102" s="41"/>
      <c r="D102" s="41"/>
      <c r="E102" s="41"/>
      <c r="F102" s="41"/>
      <c r="G102" s="41"/>
      <c r="H102" s="41"/>
    </row>
    <row r="103" spans="1:8" x14ac:dyDescent="0.25">
      <c r="A103" s="17" t="s">
        <v>3</v>
      </c>
      <c r="B103" s="17" t="s">
        <v>4</v>
      </c>
      <c r="C103" s="17" t="s">
        <v>5</v>
      </c>
      <c r="D103" s="59"/>
      <c r="E103" s="57"/>
      <c r="F103" s="57"/>
      <c r="G103" s="57"/>
      <c r="H103" s="58"/>
    </row>
    <row r="104" spans="1:8" x14ac:dyDescent="0.25">
      <c r="A104" s="33" t="s">
        <v>83</v>
      </c>
      <c r="B104" s="19"/>
      <c r="C104" s="19"/>
      <c r="D104" s="59"/>
      <c r="E104" s="57"/>
      <c r="F104" s="57"/>
      <c r="G104" s="57"/>
      <c r="H104" s="58"/>
    </row>
    <row r="105" spans="1:8" x14ac:dyDescent="0.25">
      <c r="A105" s="33" t="s">
        <v>84</v>
      </c>
      <c r="B105" s="19"/>
      <c r="C105" s="19"/>
      <c r="D105" s="18"/>
      <c r="E105" s="15"/>
      <c r="F105" s="15"/>
      <c r="G105" s="15"/>
      <c r="H105" s="16"/>
    </row>
    <row r="106" spans="1:8" x14ac:dyDescent="0.25">
      <c r="A106" s="35" t="s">
        <v>85</v>
      </c>
      <c r="B106" s="19"/>
      <c r="C106" s="19"/>
      <c r="D106" s="18"/>
      <c r="E106" s="15"/>
      <c r="F106" s="15"/>
      <c r="G106" s="15"/>
      <c r="H106" s="16"/>
    </row>
    <row r="107" spans="1:8" x14ac:dyDescent="0.25">
      <c r="A107" s="33" t="s">
        <v>86</v>
      </c>
      <c r="B107" s="19"/>
      <c r="C107" s="19"/>
      <c r="D107" s="18"/>
      <c r="E107" s="15"/>
      <c r="F107" s="15"/>
      <c r="G107" s="15"/>
      <c r="H107" s="16"/>
    </row>
    <row r="108" spans="1:8" x14ac:dyDescent="0.25">
      <c r="A108" s="33" t="s">
        <v>87</v>
      </c>
      <c r="B108" s="19"/>
      <c r="C108" s="19"/>
      <c r="D108" s="18"/>
      <c r="E108" s="15"/>
      <c r="F108" s="15"/>
      <c r="G108" s="15"/>
      <c r="H108" s="16"/>
    </row>
    <row r="109" spans="1:8" x14ac:dyDescent="0.25">
      <c r="A109" s="33" t="s">
        <v>89</v>
      </c>
      <c r="B109" s="19"/>
      <c r="C109" s="19"/>
      <c r="D109" s="59"/>
      <c r="E109" s="57"/>
      <c r="F109" s="57"/>
      <c r="G109" s="57"/>
      <c r="H109" s="58"/>
    </row>
    <row r="110" spans="1:8" x14ac:dyDescent="0.25">
      <c r="A110" s="28"/>
      <c r="B110" s="29"/>
      <c r="C110" s="29"/>
      <c r="D110" s="29"/>
      <c r="E110" s="29"/>
      <c r="F110" s="29"/>
      <c r="G110" s="29"/>
      <c r="H110" s="30"/>
    </row>
    <row r="112" spans="1:8" ht="18.75" x14ac:dyDescent="0.25">
      <c r="A112" s="40" t="s">
        <v>30</v>
      </c>
      <c r="B112" s="41"/>
      <c r="C112" s="41"/>
      <c r="D112" s="41"/>
      <c r="E112" s="41"/>
      <c r="F112" s="41"/>
      <c r="G112" s="41"/>
      <c r="H112" s="41"/>
    </row>
    <row r="113" spans="1:8" x14ac:dyDescent="0.25">
      <c r="A113" s="10" t="s">
        <v>3</v>
      </c>
      <c r="B113" s="10" t="s">
        <v>4</v>
      </c>
      <c r="C113" s="10" t="s">
        <v>5</v>
      </c>
      <c r="D113" s="54" t="s">
        <v>6</v>
      </c>
      <c r="E113" s="55"/>
      <c r="F113" s="55"/>
      <c r="G113" s="55"/>
      <c r="H113" s="56"/>
    </row>
    <row r="114" spans="1:8" x14ac:dyDescent="0.25">
      <c r="A114" s="33" t="s">
        <v>75</v>
      </c>
      <c r="B114" s="37">
        <v>25</v>
      </c>
      <c r="C114" s="37">
        <v>25</v>
      </c>
      <c r="D114" s="57"/>
      <c r="E114" s="57"/>
      <c r="F114" s="57"/>
      <c r="G114" s="57"/>
      <c r="H114" s="58"/>
    </row>
    <row r="115" spans="1:8" x14ac:dyDescent="0.25">
      <c r="A115" s="33" t="s">
        <v>31</v>
      </c>
      <c r="B115" s="37">
        <v>25</v>
      </c>
      <c r="C115" s="37">
        <v>25</v>
      </c>
      <c r="D115" s="57"/>
      <c r="E115" s="57"/>
      <c r="F115" s="57"/>
      <c r="G115" s="57"/>
      <c r="H115" s="58"/>
    </row>
    <row r="116" spans="1:8" x14ac:dyDescent="0.25">
      <c r="A116" s="33" t="s">
        <v>32</v>
      </c>
      <c r="B116" s="37">
        <v>25</v>
      </c>
      <c r="C116" s="37">
        <v>25</v>
      </c>
      <c r="D116" s="48"/>
      <c r="E116" s="49"/>
      <c r="F116" s="49"/>
      <c r="G116" s="49"/>
      <c r="H116" s="49"/>
    </row>
    <row r="117" spans="1:8" x14ac:dyDescent="0.25">
      <c r="A117" s="33" t="s">
        <v>33</v>
      </c>
      <c r="B117" s="39"/>
      <c r="C117" s="37">
        <f>SUM(C114:C116)</f>
        <v>75</v>
      </c>
      <c r="D117" s="50"/>
      <c r="E117" s="51"/>
      <c r="F117" s="51"/>
      <c r="G117" s="51"/>
      <c r="H117" s="51"/>
    </row>
    <row r="121" spans="1:8" ht="18.75" x14ac:dyDescent="0.25">
      <c r="A121" s="40" t="s">
        <v>34</v>
      </c>
      <c r="B121" s="41"/>
      <c r="C121" s="41"/>
      <c r="D121" s="41"/>
      <c r="E121" s="41"/>
      <c r="F121" s="41"/>
      <c r="G121" s="41"/>
      <c r="H121" s="41"/>
    </row>
    <row r="123" spans="1:8" x14ac:dyDescent="0.25">
      <c r="A123" s="10" t="s">
        <v>35</v>
      </c>
      <c r="B123" s="10" t="s">
        <v>36</v>
      </c>
      <c r="C123" s="3"/>
      <c r="D123" s="3"/>
      <c r="E123" s="3"/>
      <c r="F123" s="3"/>
      <c r="G123" s="3"/>
      <c r="H123" s="3"/>
    </row>
    <row r="124" spans="1:8" x14ac:dyDescent="0.25">
      <c r="A124" s="1" t="s">
        <v>2</v>
      </c>
      <c r="B124" s="7"/>
    </row>
    <row r="125" spans="1:8" x14ac:dyDescent="0.25">
      <c r="A125" s="1" t="s">
        <v>11</v>
      </c>
      <c r="B125" s="7"/>
    </row>
    <row r="126" spans="1:8" x14ac:dyDescent="0.25">
      <c r="A126" s="1" t="s">
        <v>15</v>
      </c>
      <c r="B126" s="7">
        <v>10</v>
      </c>
    </row>
    <row r="127" spans="1:8" x14ac:dyDescent="0.25">
      <c r="A127" s="1" t="s">
        <v>21</v>
      </c>
      <c r="B127" s="7"/>
    </row>
    <row r="128" spans="1:8" x14ac:dyDescent="0.25">
      <c r="A128" s="1" t="s">
        <v>26</v>
      </c>
      <c r="B128" s="7"/>
    </row>
    <row r="129" spans="1:3" x14ac:dyDescent="0.25">
      <c r="A129" s="1" t="s">
        <v>30</v>
      </c>
      <c r="B129" s="7">
        <v>500</v>
      </c>
    </row>
    <row r="130" spans="1:3" x14ac:dyDescent="0.25">
      <c r="B130" s="2"/>
    </row>
    <row r="131" spans="1:3" x14ac:dyDescent="0.25">
      <c r="A131" s="11" t="s">
        <v>37</v>
      </c>
      <c r="B131" s="12">
        <f>SUM(B124:B129)</f>
        <v>510</v>
      </c>
      <c r="C131" s="13"/>
    </row>
    <row r="132" spans="1:3" x14ac:dyDescent="0.25">
      <c r="A132" s="11" t="s">
        <v>38</v>
      </c>
      <c r="B132" s="52" t="str">
        <f>IF(B131&lt;200,"NAO APROVADO",IF(B131&lt;400,"REGULAR",IF(B131&lt;600,"BOM",IF(B131&lt;800,"MUITO BOM","EXCELENTE"))))</f>
        <v>BOM</v>
      </c>
      <c r="C132" s="53"/>
    </row>
  </sheetData>
  <mergeCells count="63">
    <mergeCell ref="A15:H15"/>
    <mergeCell ref="A22:H22"/>
    <mergeCell ref="A3:H3"/>
    <mergeCell ref="A39:H39"/>
    <mergeCell ref="D89:H89"/>
    <mergeCell ref="D79:H79"/>
    <mergeCell ref="D78:H78"/>
    <mergeCell ref="D82:H82"/>
    <mergeCell ref="D83:H83"/>
    <mergeCell ref="D67:H67"/>
    <mergeCell ref="D68:H68"/>
    <mergeCell ref="D69:H69"/>
    <mergeCell ref="D70:H70"/>
    <mergeCell ref="D71:H71"/>
    <mergeCell ref="D57:H57"/>
    <mergeCell ref="D60:H60"/>
    <mergeCell ref="R71:V71"/>
    <mergeCell ref="R72:V72"/>
    <mergeCell ref="D115:H115"/>
    <mergeCell ref="D116:H116"/>
    <mergeCell ref="D96:H96"/>
    <mergeCell ref="D97:H97"/>
    <mergeCell ref="D98:H98"/>
    <mergeCell ref="D99:H99"/>
    <mergeCell ref="D84:H84"/>
    <mergeCell ref="D85:H85"/>
    <mergeCell ref="D86:H86"/>
    <mergeCell ref="D87:H87"/>
    <mergeCell ref="D88:H88"/>
    <mergeCell ref="D72:H72"/>
    <mergeCell ref="D66:H66"/>
    <mergeCell ref="D63:H63"/>
    <mergeCell ref="D51:H51"/>
    <mergeCell ref="B132:C132"/>
    <mergeCell ref="D117:H117"/>
    <mergeCell ref="D100:H100"/>
    <mergeCell ref="D113:H113"/>
    <mergeCell ref="D114:H114"/>
    <mergeCell ref="D103:H103"/>
    <mergeCell ref="D104:H104"/>
    <mergeCell ref="D109:H109"/>
    <mergeCell ref="A102:H102"/>
    <mergeCell ref="D48:H48"/>
    <mergeCell ref="D49:H49"/>
    <mergeCell ref="D50:H50"/>
    <mergeCell ref="D61:H61"/>
    <mergeCell ref="D62:H62"/>
    <mergeCell ref="A45:H45"/>
    <mergeCell ref="A1:H1"/>
    <mergeCell ref="A65:H65"/>
    <mergeCell ref="A121:H121"/>
    <mergeCell ref="A53:H53"/>
    <mergeCell ref="A95:H95"/>
    <mergeCell ref="A81:H81"/>
    <mergeCell ref="A112:H112"/>
    <mergeCell ref="B4:H4"/>
    <mergeCell ref="B42:H42"/>
    <mergeCell ref="B43:H43"/>
    <mergeCell ref="D47:H47"/>
    <mergeCell ref="D46:H46"/>
    <mergeCell ref="D54:H54"/>
    <mergeCell ref="D55:H55"/>
    <mergeCell ref="D56:H56"/>
  </mergeCells>
  <pageMargins left="0.3" right="0.3" top="0.4" bottom="0.4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Patrocinios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GIULIANO ADELMO DE SOUZA</dc:creator>
  <cp:keywords/>
  <dc:description/>
  <cp:lastModifiedBy>CARMEM ELISE DA CONSOLACAO MATOS</cp:lastModifiedBy>
  <cp:revision/>
  <cp:lastPrinted>2026-08-03T17:40:49Z</cp:lastPrinted>
  <dcterms:created xsi:type="dcterms:W3CDTF">2026-07-28T19:20:20Z</dcterms:created>
  <dcterms:modified xsi:type="dcterms:W3CDTF">2026-08-05T16:12:46Z</dcterms:modified>
  <cp:category/>
  <cp:contentStatus/>
</cp:coreProperties>
</file>